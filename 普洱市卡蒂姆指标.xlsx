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14875\Desktop\科研\"/>
    </mc:Choice>
  </mc:AlternateContent>
  <xr:revisionPtr revIDLastSave="0" documentId="13_ncr:1_{45AE0D26-14E4-4468-96AB-A7B42FA83052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2" i="2" l="1"/>
  <c r="V35" i="2"/>
  <c r="V31" i="2"/>
  <c r="V28" i="2"/>
  <c r="V29" i="2"/>
  <c r="V27" i="2"/>
  <c r="V34" i="2"/>
  <c r="V36" i="2"/>
  <c r="V33" i="2"/>
  <c r="V30" i="2"/>
  <c r="Q34" i="1"/>
  <c r="Q33" i="1"/>
  <c r="Q32" i="1"/>
  <c r="Q31" i="1"/>
  <c r="Q30" i="1"/>
  <c r="Q29" i="1"/>
  <c r="Q28" i="1"/>
  <c r="Q27" i="1"/>
  <c r="Q26" i="1"/>
  <c r="Q25" i="1"/>
</calcChain>
</file>

<file path=xl/sharedStrings.xml><?xml version="1.0" encoding="utf-8"?>
<sst xmlns="http://schemas.openxmlformats.org/spreadsheetml/2006/main" count="127" uniqueCount="98">
  <si>
    <t>S2</t>
  </si>
  <si>
    <t>101.004594°E  22.631337°N</t>
  </si>
  <si>
    <t>60°</t>
  </si>
  <si>
    <t>350°</t>
  </si>
  <si>
    <t>1040m</t>
  </si>
  <si>
    <t>S3</t>
  </si>
  <si>
    <t>100.959292°E  23.191972°N</t>
  </si>
  <si>
    <t>45°</t>
  </si>
  <si>
    <t>320°</t>
  </si>
  <si>
    <t>924m</t>
  </si>
  <si>
    <t>S5</t>
  </si>
  <si>
    <t>100.051388°E  22.292777°N</t>
  </si>
  <si>
    <t>25°</t>
  </si>
  <si>
    <t>270°</t>
  </si>
  <si>
    <t>1104m</t>
  </si>
  <si>
    <t>S6</t>
  </si>
  <si>
    <t xml:space="preserve"> 99.560775°E  22.293111°N</t>
  </si>
  <si>
    <t>70°</t>
  </si>
  <si>
    <t>143°</t>
  </si>
  <si>
    <t>1157m</t>
  </si>
  <si>
    <t>S7</t>
  </si>
  <si>
    <t xml:space="preserve"> 99.468169°E  22.661222°N</t>
  </si>
  <si>
    <t>15°</t>
  </si>
  <si>
    <t>106°</t>
  </si>
  <si>
    <t>1286m</t>
  </si>
  <si>
    <t>S10</t>
  </si>
  <si>
    <t>100.834722°E  23.419166°N</t>
  </si>
  <si>
    <t>5°</t>
  </si>
  <si>
    <t>110°</t>
  </si>
  <si>
    <t>1219m</t>
  </si>
  <si>
    <t>101.163055°E  23.579722°N</t>
  </si>
  <si>
    <t>90°</t>
  </si>
  <si>
    <t>1030m</t>
  </si>
  <si>
    <t xml:space="preserve"> 100.945833°E  24.134722°N</t>
  </si>
  <si>
    <t>20°</t>
  </si>
  <si>
    <t>192°</t>
  </si>
  <si>
    <t>1283m</t>
  </si>
  <si>
    <t xml:space="preserve"> 101.291944°E  23.263333°N</t>
  </si>
  <si>
    <t>298°</t>
  </si>
  <si>
    <t xml:space="preserve"> 101.288675°E   22.750873°N</t>
  </si>
  <si>
    <t>30°</t>
  </si>
  <si>
    <t>140°</t>
  </si>
  <si>
    <t>1014m</t>
  </si>
  <si>
    <t>S1</t>
    <phoneticPr fontId="2" type="noConversion"/>
  </si>
  <si>
    <t>S4</t>
  </si>
  <si>
    <t>S8</t>
  </si>
  <si>
    <t>S9</t>
  </si>
  <si>
    <r>
      <rPr>
        <sz val="11"/>
        <color theme="1"/>
        <rFont val="宋体"/>
        <family val="3"/>
        <charset val="134"/>
      </rPr>
      <t>编号</t>
    </r>
  </si>
  <si>
    <r>
      <rPr>
        <sz val="11"/>
        <color theme="1"/>
        <rFont val="宋体"/>
        <family val="3"/>
        <charset val="134"/>
      </rPr>
      <t>经纬度</t>
    </r>
  </si>
  <si>
    <r>
      <rPr>
        <sz val="11"/>
        <color theme="1"/>
        <rFont val="宋体"/>
        <family val="3"/>
        <charset val="134"/>
      </rPr>
      <t>坡度</t>
    </r>
  </si>
  <si>
    <r>
      <rPr>
        <sz val="11"/>
        <color theme="1"/>
        <rFont val="宋体"/>
        <family val="3"/>
        <charset val="134"/>
      </rPr>
      <t>坡向</t>
    </r>
  </si>
  <si>
    <r>
      <rPr>
        <sz val="11"/>
        <color theme="1"/>
        <rFont val="宋体"/>
        <family val="3"/>
        <charset val="134"/>
      </rPr>
      <t>海拔</t>
    </r>
  </si>
  <si>
    <r>
      <rPr>
        <sz val="11"/>
        <color theme="1"/>
        <rFont val="宋体"/>
        <family val="3"/>
        <charset val="134"/>
      </rPr>
      <t>咖啡因</t>
    </r>
    <r>
      <rPr>
        <sz val="11"/>
        <color theme="1"/>
        <rFont val="Times New Roman"/>
        <family val="1"/>
      </rPr>
      <t>%</t>
    </r>
  </si>
  <si>
    <r>
      <rPr>
        <sz val="11"/>
        <color theme="1"/>
        <rFont val="宋体"/>
        <family val="3"/>
        <charset val="134"/>
      </rPr>
      <t>蛋白质</t>
    </r>
    <r>
      <rPr>
        <sz val="11"/>
        <color theme="1"/>
        <rFont val="Times New Roman"/>
        <family val="1"/>
      </rPr>
      <t>%</t>
    </r>
  </si>
  <si>
    <r>
      <rPr>
        <sz val="11"/>
        <color theme="1"/>
        <rFont val="宋体"/>
        <family val="3"/>
        <charset val="134"/>
      </rPr>
      <t>粗脂肪</t>
    </r>
    <r>
      <rPr>
        <sz val="11"/>
        <color theme="1"/>
        <rFont val="Times New Roman"/>
        <family val="1"/>
      </rPr>
      <t>g/100g</t>
    </r>
  </si>
  <si>
    <r>
      <rPr>
        <sz val="11"/>
        <color theme="1"/>
        <rFont val="宋体"/>
        <family val="3"/>
        <charset val="134"/>
      </rPr>
      <t>水浸出物</t>
    </r>
    <r>
      <rPr>
        <sz val="11"/>
        <color theme="1"/>
        <rFont val="Times New Roman"/>
        <family val="1"/>
      </rPr>
      <t>%</t>
    </r>
  </si>
  <si>
    <r>
      <rPr>
        <sz val="11"/>
        <color theme="1"/>
        <rFont val="宋体"/>
        <family val="3"/>
        <charset val="134"/>
      </rPr>
      <t>粗纤维</t>
    </r>
    <r>
      <rPr>
        <sz val="11"/>
        <color theme="1"/>
        <rFont val="Times New Roman"/>
        <family val="1"/>
      </rPr>
      <t>%</t>
    </r>
  </si>
  <si>
    <r>
      <rPr>
        <sz val="11"/>
        <color theme="1"/>
        <rFont val="宋体"/>
        <family val="3"/>
        <charset val="134"/>
      </rPr>
      <t>总糖</t>
    </r>
    <r>
      <rPr>
        <sz val="11"/>
        <color theme="1"/>
        <rFont val="Times New Roman"/>
        <family val="1"/>
      </rPr>
      <t>g/100g</t>
    </r>
  </si>
  <si>
    <t>采样地点</t>
    <phoneticPr fontId="2" type="noConversion"/>
  </si>
  <si>
    <t>采样时间</t>
    <phoneticPr fontId="2" type="noConversion"/>
  </si>
  <si>
    <r>
      <t>2024</t>
    </r>
    <r>
      <rPr>
        <sz val="12"/>
        <rFont val="宋体"/>
        <family val="1"/>
        <charset val="134"/>
      </rPr>
      <t>年12月25日</t>
    </r>
    <r>
      <rPr>
        <sz val="12"/>
        <rFont val="Times New Roman"/>
        <family val="1"/>
      </rPr>
      <t>~31</t>
    </r>
    <r>
      <rPr>
        <sz val="12"/>
        <rFont val="宋体"/>
        <family val="1"/>
        <charset val="134"/>
      </rPr>
      <t>日</t>
    </r>
    <phoneticPr fontId="2" type="noConversion"/>
  </si>
  <si>
    <r>
      <t>2024</t>
    </r>
    <r>
      <rPr>
        <sz val="12"/>
        <rFont val="宋体"/>
        <family val="1"/>
        <charset val="134"/>
      </rPr>
      <t>年12月25日</t>
    </r>
    <r>
      <rPr>
        <sz val="12"/>
        <rFont val="Times New Roman"/>
        <family val="1"/>
      </rPr>
      <t>~31日</t>
    </r>
    <r>
      <rPr>
        <sz val="12"/>
        <rFont val="宋体"/>
        <family val="1"/>
        <charset val="134"/>
      </rPr>
      <t/>
    </r>
  </si>
  <si>
    <t>品种</t>
    <phoneticPr fontId="2" type="noConversion"/>
  </si>
  <si>
    <t>卡蒂姆</t>
    <phoneticPr fontId="2" type="noConversion"/>
  </si>
  <si>
    <t>树龄</t>
    <phoneticPr fontId="2" type="noConversion"/>
  </si>
  <si>
    <t>约10年生</t>
    <phoneticPr fontId="2" type="noConversion"/>
  </si>
  <si>
    <t>预处理方式</t>
    <phoneticPr fontId="2" type="noConversion"/>
  </si>
  <si>
    <t>水洗脱胶，45℃烘干，研磨，60目筛</t>
    <phoneticPr fontId="2" type="noConversion"/>
  </si>
  <si>
    <t>检测方法</t>
    <phoneticPr fontId="2" type="noConversion"/>
  </si>
  <si>
    <r>
      <t>GB 5009.8</t>
    </r>
    <r>
      <rPr>
        <sz val="10.5"/>
        <color theme="1"/>
        <rFont val="宋体"/>
        <family val="3"/>
        <charset val="134"/>
        <scheme val="minor"/>
      </rPr>
      <t>—</t>
    </r>
    <r>
      <rPr>
        <sz val="10.5"/>
        <color theme="1"/>
        <rFont val="Times New Roman"/>
        <family val="1"/>
      </rPr>
      <t>2023</t>
    </r>
  </si>
  <si>
    <t>GB 5009.5—2016</t>
    <phoneticPr fontId="2" type="noConversion"/>
  </si>
  <si>
    <t>GB 5009.6—2016</t>
    <phoneticPr fontId="2" type="noConversion"/>
  </si>
  <si>
    <r>
      <t>GB/T 5009.10</t>
    </r>
    <r>
      <rPr>
        <sz val="10.5"/>
        <color theme="1"/>
        <rFont val="宋体"/>
        <family val="3"/>
        <charset val="134"/>
        <scheme val="minor"/>
      </rPr>
      <t>—</t>
    </r>
    <r>
      <rPr>
        <sz val="10.5"/>
        <color theme="1"/>
        <rFont val="Times New Roman"/>
        <family val="1"/>
      </rPr>
      <t>2003</t>
    </r>
  </si>
  <si>
    <t>GB/T 8305—2013</t>
  </si>
  <si>
    <t>NY/T 3514—2019《咖啡中绿原酸类化合物的测定 高效液相色谱法》</t>
  </si>
  <si>
    <t>ISO 20481:2008高效液相色谱法</t>
  </si>
  <si>
    <t>1，2</t>
    <phoneticPr fontId="2" type="noConversion"/>
  </si>
  <si>
    <t>1，5</t>
    <phoneticPr fontId="2" type="noConversion"/>
  </si>
  <si>
    <t>1，8</t>
    <phoneticPr fontId="2" type="noConversion"/>
  </si>
  <si>
    <t>1，10</t>
    <phoneticPr fontId="2" type="noConversion"/>
  </si>
  <si>
    <t>2，5</t>
    <phoneticPr fontId="2" type="noConversion"/>
  </si>
  <si>
    <t>2，8</t>
    <phoneticPr fontId="2" type="noConversion"/>
  </si>
  <si>
    <t>2，10</t>
    <phoneticPr fontId="2" type="noConversion"/>
  </si>
  <si>
    <t>5，8</t>
    <phoneticPr fontId="2" type="noConversion"/>
  </si>
  <si>
    <t>5，10</t>
    <phoneticPr fontId="2" type="noConversion"/>
  </si>
  <si>
    <t>8，10</t>
    <phoneticPr fontId="2" type="noConversion"/>
  </si>
  <si>
    <t>普洱市南屏镇南岛河村</t>
    <phoneticPr fontId="2" type="noConversion"/>
  </si>
  <si>
    <t>普洱市宁洱县宁洱镇政合村</t>
    <phoneticPr fontId="2" type="noConversion"/>
  </si>
  <si>
    <t>普洱市澜沧县惠民镇南雄新寨</t>
    <phoneticPr fontId="2" type="noConversion"/>
  </si>
  <si>
    <t>普洱市孟连县公信乡广别中寨</t>
    <phoneticPr fontId="2" type="noConversion"/>
  </si>
  <si>
    <t>普洱市镇沅县古城镇河西村</t>
    <phoneticPr fontId="2" type="noConversion"/>
  </si>
  <si>
    <t>普洱市景东县文井镇文哈村</t>
    <phoneticPr fontId="2" type="noConversion"/>
  </si>
  <si>
    <t>普洱市西盟县力所乡力所村茨米组</t>
    <phoneticPr fontId="2" type="noConversion"/>
  </si>
  <si>
    <t>普洱市景谷县暖里村</t>
    <phoneticPr fontId="2" type="noConversion"/>
  </si>
  <si>
    <t>普洱市墨江县通关镇团山村老付寨</t>
    <phoneticPr fontId="2" type="noConversion"/>
  </si>
  <si>
    <t>普洱市江城县香橼树河咖啡庄园</t>
    <phoneticPr fontId="2" type="noConversion"/>
  </si>
  <si>
    <r>
      <rPr>
        <sz val="11"/>
        <color theme="1"/>
        <rFont val="宋体"/>
        <family val="3"/>
        <charset val="134"/>
      </rPr>
      <t>咖啡因</t>
    </r>
    <r>
      <rPr>
        <sz val="11"/>
        <color theme="1"/>
        <rFont val="Times New Roman"/>
        <family val="1"/>
      </rPr>
      <t>%</t>
    </r>
    <phoneticPr fontId="2" type="noConversion"/>
  </si>
  <si>
    <r>
      <rPr>
        <sz val="11"/>
        <color theme="1"/>
        <rFont val="宋体"/>
        <family val="3"/>
        <charset val="134"/>
      </rPr>
      <t>绿原酸</t>
    </r>
    <r>
      <rPr>
        <sz val="11"/>
        <color theme="1"/>
        <rFont val="Times New Roman"/>
        <family val="1"/>
      </rPr>
      <t>%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</si>
</sst>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2"/>
      <name val="Times New Roman"/>
      <family val="1"/>
    </font>
    <font>
      <sz val="11"/>
      <color theme="1"/>
      <name val="宋体"/>
      <family val="1"/>
      <charset val="134"/>
    </font>
    <font>
      <sz val="12"/>
      <name val="宋体"/>
      <family val="1"/>
      <charset val="134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" fontId="1" fillId="0" borderId="0" xfId="0" applyNumberFormat="1" applyFont="1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4"/>
  <sheetViews>
    <sheetView tabSelected="1" zoomScale="85" zoomScaleNormal="85" workbookViewId="0">
      <selection activeCell="G19" sqref="G19"/>
    </sheetView>
  </sheetViews>
  <sheetFormatPr defaultColWidth="8.73046875" defaultRowHeight="24.95" customHeight="1" x14ac:dyDescent="0.3"/>
  <cols>
    <col min="1" max="1" width="5.265625" style="1" bestFit="1" customWidth="1"/>
    <col min="2" max="2" width="30.265625" style="1" customWidth="1"/>
    <col min="3" max="3" width="7.1328125" style="1" bestFit="1" customWidth="1"/>
    <col min="4" max="4" width="9.1328125" style="1" bestFit="1" customWidth="1"/>
    <col min="5" max="5" width="11" style="1" bestFit="1" customWidth="1"/>
    <col min="6" max="7" width="25.59765625" style="1" customWidth="1"/>
    <col min="8" max="8" width="6.59765625" style="1" customWidth="1"/>
    <col min="9" max="10" width="6.46484375" style="1" bestFit="1" customWidth="1"/>
    <col min="11" max="12" width="6.46484375" style="1" customWidth="1"/>
    <col min="13" max="19" width="8.73046875" style="1"/>
    <col min="20" max="20" width="13.46484375" style="1" bestFit="1" customWidth="1"/>
    <col min="21" max="22" width="13.46484375" style="1" customWidth="1"/>
    <col min="23" max="23" width="10.59765625" style="1" bestFit="1" customWidth="1"/>
    <col min="24" max="25" width="10.59765625" style="1" customWidth="1"/>
    <col min="26" max="26" width="8.73046875" style="1" bestFit="1" customWidth="1"/>
    <col min="27" max="28" width="8.73046875" style="1" customWidth="1"/>
    <col min="29" max="29" width="11.3984375" style="1" bestFit="1" customWidth="1"/>
    <col min="30" max="16384" width="8.73046875" style="1"/>
  </cols>
  <sheetData>
    <row r="1" spans="1:31" ht="24.95" customHeight="1" x14ac:dyDescent="0.3">
      <c r="A1" s="2" t="s">
        <v>47</v>
      </c>
      <c r="B1" s="7" t="s">
        <v>58</v>
      </c>
      <c r="C1" s="7" t="s">
        <v>62</v>
      </c>
      <c r="D1" s="7" t="s">
        <v>64</v>
      </c>
      <c r="E1" s="7" t="s">
        <v>66</v>
      </c>
      <c r="F1" s="3" t="s">
        <v>48</v>
      </c>
      <c r="G1" s="8" t="s">
        <v>59</v>
      </c>
      <c r="H1" s="2" t="s">
        <v>49</v>
      </c>
      <c r="I1" s="2" t="s">
        <v>50</v>
      </c>
      <c r="J1" s="2" t="s">
        <v>51</v>
      </c>
      <c r="K1" s="28" t="s">
        <v>96</v>
      </c>
      <c r="L1" s="24"/>
      <c r="M1" s="25"/>
      <c r="N1" s="28" t="s">
        <v>97</v>
      </c>
      <c r="O1" s="24"/>
      <c r="P1" s="25"/>
      <c r="Q1" s="23" t="s">
        <v>53</v>
      </c>
      <c r="R1" s="24"/>
      <c r="S1" s="25"/>
      <c r="T1" s="23" t="s">
        <v>54</v>
      </c>
      <c r="U1" s="24"/>
      <c r="V1" s="25"/>
      <c r="W1" s="23" t="s">
        <v>55</v>
      </c>
      <c r="X1" s="24"/>
      <c r="Y1" s="25"/>
      <c r="Z1" s="23" t="s">
        <v>56</v>
      </c>
      <c r="AA1" s="24"/>
      <c r="AB1" s="25"/>
      <c r="AC1" s="26" t="s">
        <v>57</v>
      </c>
      <c r="AD1" s="27"/>
      <c r="AE1" s="27"/>
    </row>
    <row r="2" spans="1:31" ht="24.95" customHeight="1" x14ac:dyDescent="0.3">
      <c r="A2" s="2" t="s">
        <v>43</v>
      </c>
      <c r="B2" s="13" t="s">
        <v>86</v>
      </c>
      <c r="C2" s="8" t="s">
        <v>63</v>
      </c>
      <c r="D2" s="8" t="s">
        <v>65</v>
      </c>
      <c r="E2" s="14" t="s">
        <v>67</v>
      </c>
      <c r="F2" s="4" t="s">
        <v>1</v>
      </c>
      <c r="G2" s="4" t="s">
        <v>60</v>
      </c>
      <c r="H2" s="2" t="s">
        <v>2</v>
      </c>
      <c r="I2" s="2" t="s">
        <v>3</v>
      </c>
      <c r="J2" s="2" t="s">
        <v>4</v>
      </c>
      <c r="K2" s="5">
        <v>0.73963999999999996</v>
      </c>
      <c r="L2" s="5">
        <v>0.83160000000000012</v>
      </c>
      <c r="M2" s="5">
        <v>0.79200000000000004</v>
      </c>
      <c r="N2" s="5">
        <v>3.1902666666666701</v>
      </c>
      <c r="O2" s="5">
        <v>2.9031426666666698</v>
      </c>
      <c r="P2" s="5">
        <v>3.5730986666666711</v>
      </c>
      <c r="Q2" s="5">
        <v>11.845333333333301</v>
      </c>
      <c r="R2" s="5">
        <v>10.897706666666638</v>
      </c>
      <c r="S2" s="5">
        <v>12.437599999999966</v>
      </c>
      <c r="T2" s="5">
        <v>11.878</v>
      </c>
      <c r="U2" s="5">
        <v>10.927760000000001</v>
      </c>
      <c r="V2" s="5">
        <v>12.4719</v>
      </c>
      <c r="W2" s="5">
        <v>30.7</v>
      </c>
      <c r="X2" s="5">
        <v>28.244</v>
      </c>
      <c r="Y2" s="5">
        <v>32.234999999999999</v>
      </c>
      <c r="Z2" s="5">
        <v>25.099333333333298</v>
      </c>
      <c r="AA2" s="5">
        <v>23.091386666666637</v>
      </c>
      <c r="AB2" s="5">
        <v>26.354299999999963</v>
      </c>
      <c r="AC2" s="5">
        <v>8.6240000000000006</v>
      </c>
      <c r="AD2" s="5">
        <v>7.9340800000000007</v>
      </c>
      <c r="AE2" s="5">
        <v>9.055200000000001</v>
      </c>
    </row>
    <row r="3" spans="1:31" ht="24.95" customHeight="1" x14ac:dyDescent="0.3">
      <c r="A3" s="2" t="s">
        <v>0</v>
      </c>
      <c r="B3" s="13" t="s">
        <v>87</v>
      </c>
      <c r="C3" s="8" t="s">
        <v>63</v>
      </c>
      <c r="D3" s="8" t="s">
        <v>65</v>
      </c>
      <c r="E3" s="15"/>
      <c r="F3" s="4" t="s">
        <v>6</v>
      </c>
      <c r="G3" s="4" t="s">
        <v>60</v>
      </c>
      <c r="H3" s="4" t="s">
        <v>7</v>
      </c>
      <c r="I3" s="4" t="s">
        <v>8</v>
      </c>
      <c r="J3" s="2" t="s">
        <v>9</v>
      </c>
      <c r="K3" s="5">
        <v>0.60600399999999999</v>
      </c>
      <c r="L3" s="5">
        <v>0.691635</v>
      </c>
      <c r="M3" s="5">
        <v>0.65869999999999995</v>
      </c>
      <c r="N3" s="5">
        <v>1.4858</v>
      </c>
      <c r="O3" s="5">
        <v>1.6640960000000002</v>
      </c>
      <c r="P3" s="5">
        <v>1.3520780000000001</v>
      </c>
      <c r="Q3" s="5">
        <v>9.798</v>
      </c>
      <c r="R3" s="5">
        <v>9.0141600000000004</v>
      </c>
      <c r="S3" s="5">
        <v>10.2879</v>
      </c>
      <c r="T3" s="5">
        <v>11.006</v>
      </c>
      <c r="U3" s="5">
        <v>10.12552</v>
      </c>
      <c r="V3" s="5">
        <v>11.5563</v>
      </c>
      <c r="W3" s="5">
        <v>25.904666666666699</v>
      </c>
      <c r="X3" s="5">
        <v>23.832293333333364</v>
      </c>
      <c r="Y3" s="5">
        <v>27.199900000000035</v>
      </c>
      <c r="Z3" s="5">
        <v>32.850666666666697</v>
      </c>
      <c r="AA3" s="5">
        <v>30.222613333333364</v>
      </c>
      <c r="AB3" s="5">
        <v>34.493200000000037</v>
      </c>
      <c r="AC3" s="5">
        <v>8.8320000000000007</v>
      </c>
      <c r="AD3" s="5">
        <v>8.1254400000000011</v>
      </c>
      <c r="AE3" s="5">
        <v>9.2736000000000018</v>
      </c>
    </row>
    <row r="4" spans="1:31" ht="24.95" customHeight="1" x14ac:dyDescent="0.3">
      <c r="A4" s="2" t="s">
        <v>5</v>
      </c>
      <c r="B4" s="13" t="s">
        <v>88</v>
      </c>
      <c r="C4" s="8" t="s">
        <v>63</v>
      </c>
      <c r="D4" s="8" t="s">
        <v>65</v>
      </c>
      <c r="E4" s="15"/>
      <c r="F4" s="4" t="s">
        <v>11</v>
      </c>
      <c r="G4" s="4" t="s">
        <v>61</v>
      </c>
      <c r="H4" s="2" t="s">
        <v>12</v>
      </c>
      <c r="I4" s="2" t="s">
        <v>13</v>
      </c>
      <c r="J4" s="2" t="s">
        <v>14</v>
      </c>
      <c r="K4" s="5">
        <v>0.90478500000000006</v>
      </c>
      <c r="L4" s="5">
        <v>0.79276400000000002</v>
      </c>
      <c r="M4" s="5">
        <v>0.86170000000000002</v>
      </c>
      <c r="N4" s="5">
        <v>3.92566666666667</v>
      </c>
      <c r="O4" s="5">
        <v>3.57235666666667</v>
      </c>
      <c r="P4" s="5">
        <v>4.3967466666666706</v>
      </c>
      <c r="Q4" s="5">
        <v>11.0726666666667</v>
      </c>
      <c r="R4" s="5">
        <v>11.626300000000036</v>
      </c>
      <c r="S4" s="5">
        <v>10.186853333333366</v>
      </c>
      <c r="T4" s="5">
        <v>12.8173333333333</v>
      </c>
      <c r="U4" s="5">
        <v>13.458199999999966</v>
      </c>
      <c r="V4" s="5">
        <v>11.791946666666636</v>
      </c>
      <c r="W4" s="5">
        <v>29.6293333333333</v>
      </c>
      <c r="X4" s="5">
        <v>31.110799999999966</v>
      </c>
      <c r="Y4" s="5">
        <v>27.258986666666637</v>
      </c>
      <c r="Z4" s="5">
        <v>27.785333333333298</v>
      </c>
      <c r="AA4" s="5">
        <v>29.174599999999966</v>
      </c>
      <c r="AB4" s="5">
        <v>25.562506666666636</v>
      </c>
      <c r="AC4" s="5">
        <v>8.3626666666666694</v>
      </c>
      <c r="AD4" s="5">
        <v>8.7808000000000028</v>
      </c>
      <c r="AE4" s="5">
        <v>7.6936533333333363</v>
      </c>
    </row>
    <row r="5" spans="1:31" ht="24.95" customHeight="1" x14ac:dyDescent="0.3">
      <c r="A5" s="2" t="s">
        <v>44</v>
      </c>
      <c r="B5" s="13" t="s">
        <v>89</v>
      </c>
      <c r="C5" s="8" t="s">
        <v>63</v>
      </c>
      <c r="D5" s="8" t="s">
        <v>65</v>
      </c>
      <c r="E5" s="15"/>
      <c r="F5" s="6" t="s">
        <v>16</v>
      </c>
      <c r="G5" s="4" t="s">
        <v>61</v>
      </c>
      <c r="H5" s="2" t="s">
        <v>17</v>
      </c>
      <c r="I5" s="2" t="s">
        <v>18</v>
      </c>
      <c r="J5" s="2" t="s">
        <v>19</v>
      </c>
      <c r="K5" s="5">
        <v>0.82551600000000003</v>
      </c>
      <c r="L5" s="5">
        <v>0.94216500000000003</v>
      </c>
      <c r="M5" s="5">
        <v>0.89729999999999999</v>
      </c>
      <c r="N5" s="5">
        <v>2.10713333333333</v>
      </c>
      <c r="O5" s="5">
        <v>1.9174913333333303</v>
      </c>
      <c r="P5" s="5">
        <v>2.3599893333333299</v>
      </c>
      <c r="Q5" s="5">
        <v>11.678000000000001</v>
      </c>
      <c r="R5" s="5">
        <v>10.743760000000002</v>
      </c>
      <c r="S5" s="5">
        <v>12.261900000000001</v>
      </c>
      <c r="T5" s="5">
        <v>10.1</v>
      </c>
      <c r="U5" s="5">
        <v>9.2919999999999998</v>
      </c>
      <c r="V5" s="5">
        <v>10.605</v>
      </c>
      <c r="W5" s="5">
        <v>29.228000000000002</v>
      </c>
      <c r="X5" s="5">
        <v>26.889760000000003</v>
      </c>
      <c r="Y5" s="5">
        <v>30.689400000000003</v>
      </c>
      <c r="Z5" s="5">
        <v>26.6093333333333</v>
      </c>
      <c r="AA5" s="5">
        <v>24.480586666666635</v>
      </c>
      <c r="AB5" s="5">
        <v>27.939799999999966</v>
      </c>
      <c r="AC5" s="5">
        <v>8.6240000000000006</v>
      </c>
      <c r="AD5" s="5">
        <v>7.9340800000000007</v>
      </c>
      <c r="AE5" s="5">
        <v>9.055200000000001</v>
      </c>
    </row>
    <row r="6" spans="1:31" ht="24.95" customHeight="1" x14ac:dyDescent="0.3">
      <c r="A6" s="2" t="s">
        <v>10</v>
      </c>
      <c r="B6" s="13" t="s">
        <v>92</v>
      </c>
      <c r="C6" s="8" t="s">
        <v>63</v>
      </c>
      <c r="D6" s="8" t="s">
        <v>65</v>
      </c>
      <c r="E6" s="15"/>
      <c r="F6" s="4" t="s">
        <v>21</v>
      </c>
      <c r="G6" s="4" t="s">
        <v>61</v>
      </c>
      <c r="H6" s="2" t="s">
        <v>22</v>
      </c>
      <c r="I6" s="2" t="s">
        <v>23</v>
      </c>
      <c r="J6" s="2" t="s">
        <v>24</v>
      </c>
      <c r="K6" s="5">
        <v>0.92484700000000031</v>
      </c>
      <c r="L6" s="5">
        <v>0.8103421333333336</v>
      </c>
      <c r="M6" s="5">
        <v>0.88080666666666696</v>
      </c>
      <c r="N6" s="5">
        <v>3.4957333333333298</v>
      </c>
      <c r="O6" s="5">
        <v>3.9152213333333297</v>
      </c>
      <c r="P6" s="5">
        <v>3.1811173333333302</v>
      </c>
      <c r="Q6" s="5">
        <v>10.6033333333333</v>
      </c>
      <c r="R6" s="5">
        <v>11.133499999999966</v>
      </c>
      <c r="S6" s="5">
        <v>9.7550666666666359</v>
      </c>
      <c r="T6" s="5">
        <v>10.1</v>
      </c>
      <c r="U6" s="5">
        <v>10.605</v>
      </c>
      <c r="V6" s="5">
        <v>9.2919999999999998</v>
      </c>
      <c r="W6" s="5">
        <v>28.723333333333301</v>
      </c>
      <c r="X6" s="5">
        <v>30.159499999999966</v>
      </c>
      <c r="Y6" s="5">
        <v>26.425466666666637</v>
      </c>
      <c r="Z6" s="5">
        <v>27.482666666666699</v>
      </c>
      <c r="AA6" s="5">
        <v>28.856800000000035</v>
      </c>
      <c r="AB6" s="5">
        <v>25.284053333333365</v>
      </c>
      <c r="AC6" s="5">
        <v>8.3926666666666705</v>
      </c>
      <c r="AD6" s="5">
        <v>8.812300000000004</v>
      </c>
      <c r="AE6" s="5">
        <v>7.7212533333333369</v>
      </c>
    </row>
    <row r="7" spans="1:31" ht="24.95" customHeight="1" x14ac:dyDescent="0.3">
      <c r="A7" s="2" t="s">
        <v>15</v>
      </c>
      <c r="B7" s="13" t="s">
        <v>93</v>
      </c>
      <c r="C7" s="8" t="s">
        <v>63</v>
      </c>
      <c r="D7" s="8" t="s">
        <v>65</v>
      </c>
      <c r="E7" s="15"/>
      <c r="F7" s="6" t="s">
        <v>26</v>
      </c>
      <c r="G7" s="4" t="s">
        <v>61</v>
      </c>
      <c r="H7" s="2" t="s">
        <v>27</v>
      </c>
      <c r="I7" s="2" t="s">
        <v>28</v>
      </c>
      <c r="J7" s="2" t="s">
        <v>29</v>
      </c>
      <c r="K7" s="5">
        <v>0.75046240000000008</v>
      </c>
      <c r="L7" s="5">
        <v>0.85650599999999999</v>
      </c>
      <c r="M7" s="5">
        <v>0.81572</v>
      </c>
      <c r="N7" s="5">
        <v>2.88546666666667</v>
      </c>
      <c r="O7" s="5">
        <v>2.6257746666666697</v>
      </c>
      <c r="P7" s="5">
        <v>3.2317226666666707</v>
      </c>
      <c r="Q7" s="5">
        <v>10.3013333333333</v>
      </c>
      <c r="R7" s="5">
        <v>9.4772266666666365</v>
      </c>
      <c r="S7" s="5">
        <v>10.816399999999966</v>
      </c>
      <c r="T7" s="5">
        <v>11.206666666666701</v>
      </c>
      <c r="U7" s="5">
        <v>10.310133333333365</v>
      </c>
      <c r="V7" s="5">
        <v>11.767000000000037</v>
      </c>
      <c r="W7" s="5">
        <v>27.213333333333299</v>
      </c>
      <c r="X7" s="5">
        <v>25.036266666666638</v>
      </c>
      <c r="Y7" s="5">
        <v>28.573999999999966</v>
      </c>
      <c r="Z7" s="5">
        <v>30.7366666666667</v>
      </c>
      <c r="AA7" s="5">
        <v>28.277733333333366</v>
      </c>
      <c r="AB7" s="5">
        <v>32.273500000000034</v>
      </c>
      <c r="AC7" s="5">
        <v>8.59</v>
      </c>
      <c r="AD7" s="5">
        <v>7.9028</v>
      </c>
      <c r="AE7" s="5">
        <v>9.0195000000000007</v>
      </c>
    </row>
    <row r="8" spans="1:31" ht="24.95" customHeight="1" x14ac:dyDescent="0.3">
      <c r="A8" s="2" t="s">
        <v>20</v>
      </c>
      <c r="B8" s="13" t="s">
        <v>90</v>
      </c>
      <c r="C8" s="8" t="s">
        <v>63</v>
      </c>
      <c r="D8" s="8" t="s">
        <v>65</v>
      </c>
      <c r="E8" s="15"/>
      <c r="F8" s="6" t="s">
        <v>30</v>
      </c>
      <c r="G8" s="4" t="s">
        <v>61</v>
      </c>
      <c r="H8" s="2" t="s">
        <v>7</v>
      </c>
      <c r="I8" s="2" t="s">
        <v>31</v>
      </c>
      <c r="J8" s="2" t="s">
        <v>32</v>
      </c>
      <c r="K8" s="5">
        <v>0.68638500000000002</v>
      </c>
      <c r="L8" s="5">
        <v>0.60140399999999994</v>
      </c>
      <c r="M8" s="5">
        <v>0.65369999999999995</v>
      </c>
      <c r="N8" s="5">
        <v>2.3687999999999998</v>
      </c>
      <c r="O8" s="5">
        <v>2.155608</v>
      </c>
      <c r="P8" s="5">
        <v>2.6530559999999999</v>
      </c>
      <c r="Q8" s="5">
        <v>11.436</v>
      </c>
      <c r="R8" s="5">
        <v>12.0078</v>
      </c>
      <c r="S8" s="5">
        <v>10.52112</v>
      </c>
      <c r="T8" s="5">
        <v>9.5966666666666693</v>
      </c>
      <c r="U8" s="5">
        <v>10.076500000000003</v>
      </c>
      <c r="V8" s="5">
        <v>8.8289333333333353</v>
      </c>
      <c r="W8" s="5">
        <v>28.521999999999998</v>
      </c>
      <c r="X8" s="5">
        <v>29.9481</v>
      </c>
      <c r="Y8" s="5">
        <v>26.24024</v>
      </c>
      <c r="Z8" s="5">
        <v>30.7366666666667</v>
      </c>
      <c r="AA8" s="5">
        <v>32.273500000000034</v>
      </c>
      <c r="AB8" s="5">
        <v>28.277733333333366</v>
      </c>
      <c r="AC8" s="5">
        <v>8.4633333333333294</v>
      </c>
      <c r="AD8" s="5">
        <v>8.8864999999999963</v>
      </c>
      <c r="AE8" s="5">
        <v>7.7862666666666636</v>
      </c>
    </row>
    <row r="9" spans="1:31" ht="24.95" customHeight="1" x14ac:dyDescent="0.3">
      <c r="A9" s="2" t="s">
        <v>45</v>
      </c>
      <c r="B9" s="13" t="s">
        <v>91</v>
      </c>
      <c r="C9" s="8" t="s">
        <v>63</v>
      </c>
      <c r="D9" s="8" t="s">
        <v>65</v>
      </c>
      <c r="E9" s="15"/>
      <c r="F9" s="6" t="s">
        <v>33</v>
      </c>
      <c r="G9" s="4" t="s">
        <v>61</v>
      </c>
      <c r="H9" s="2" t="s">
        <v>34</v>
      </c>
      <c r="I9" s="2" t="s">
        <v>35</v>
      </c>
      <c r="J9" s="2" t="s">
        <v>36</v>
      </c>
      <c r="K9" s="5">
        <v>0.76153306666666642</v>
      </c>
      <c r="L9" s="5">
        <v>0.86914099999999972</v>
      </c>
      <c r="M9" s="5">
        <v>0.82775333333333301</v>
      </c>
      <c r="N9" s="5">
        <v>2.7984</v>
      </c>
      <c r="O9" s="5">
        <v>3.1342080000000001</v>
      </c>
      <c r="P9" s="5">
        <v>2.5465439999999999</v>
      </c>
      <c r="Q9" s="5">
        <v>11.798666666666699</v>
      </c>
      <c r="R9" s="5">
        <v>10.854773333333364</v>
      </c>
      <c r="S9" s="5">
        <v>12.388600000000036</v>
      </c>
      <c r="T9" s="5">
        <v>11.9453333333333</v>
      </c>
      <c r="U9" s="5">
        <v>10.989706666666637</v>
      </c>
      <c r="V9" s="5">
        <v>12.542599999999966</v>
      </c>
      <c r="W9" s="5">
        <v>27.112666666666701</v>
      </c>
      <c r="X9" s="5">
        <v>24.943653333333366</v>
      </c>
      <c r="Y9" s="5">
        <v>28.468300000000038</v>
      </c>
      <c r="Z9" s="5">
        <v>28.622666666666699</v>
      </c>
      <c r="AA9" s="5">
        <v>26.332853333333365</v>
      </c>
      <c r="AB9" s="5">
        <v>30.053800000000034</v>
      </c>
      <c r="AC9" s="5">
        <v>8.4866666666666699</v>
      </c>
      <c r="AD9" s="5">
        <v>7.8077333333333367</v>
      </c>
      <c r="AE9" s="5">
        <v>8.9110000000000031</v>
      </c>
    </row>
    <row r="10" spans="1:31" ht="24.95" customHeight="1" x14ac:dyDescent="0.3">
      <c r="A10" s="2" t="s">
        <v>46</v>
      </c>
      <c r="B10" s="13" t="s">
        <v>94</v>
      </c>
      <c r="C10" s="8" t="s">
        <v>63</v>
      </c>
      <c r="D10" s="8" t="s">
        <v>65</v>
      </c>
      <c r="E10" s="15"/>
      <c r="F10" s="6" t="s">
        <v>37</v>
      </c>
      <c r="G10" s="4" t="s">
        <v>61</v>
      </c>
      <c r="H10" s="2" t="s">
        <v>27</v>
      </c>
      <c r="I10" s="2" t="s">
        <v>38</v>
      </c>
      <c r="J10" s="2" t="s">
        <v>4</v>
      </c>
      <c r="K10" s="5">
        <v>0.86914099999999972</v>
      </c>
      <c r="L10" s="5">
        <v>0.76153306666666642</v>
      </c>
      <c r="M10" s="5">
        <v>0.82775333333333301</v>
      </c>
      <c r="N10" s="5">
        <v>2.5970666666666702</v>
      </c>
      <c r="O10" s="5">
        <v>2.3633306666666698</v>
      </c>
      <c r="P10" s="5">
        <v>2.908714666666671</v>
      </c>
      <c r="Q10" s="5">
        <v>11.218</v>
      </c>
      <c r="R10" s="5">
        <v>11.7789</v>
      </c>
      <c r="S10" s="5">
        <v>10.32056</v>
      </c>
      <c r="T10" s="5">
        <v>11.24</v>
      </c>
      <c r="U10" s="5">
        <v>11.802000000000001</v>
      </c>
      <c r="V10" s="5">
        <v>10.3408</v>
      </c>
      <c r="W10" s="5">
        <v>27.213333333333299</v>
      </c>
      <c r="X10" s="5">
        <v>28.573999999999966</v>
      </c>
      <c r="Y10" s="5">
        <v>25.036266666666638</v>
      </c>
      <c r="Z10" s="5">
        <v>30.032</v>
      </c>
      <c r="AA10" s="5">
        <v>31.5336</v>
      </c>
      <c r="AB10" s="5">
        <v>27.629440000000002</v>
      </c>
      <c r="AC10" s="5">
        <v>8.9926666666666701</v>
      </c>
      <c r="AD10" s="5">
        <v>9.4423000000000048</v>
      </c>
      <c r="AE10" s="5">
        <v>8.2732533333333365</v>
      </c>
    </row>
    <row r="11" spans="1:31" ht="24.95" customHeight="1" x14ac:dyDescent="0.3">
      <c r="A11" s="2" t="s">
        <v>25</v>
      </c>
      <c r="B11" s="13" t="s">
        <v>95</v>
      </c>
      <c r="C11" s="8" t="s">
        <v>63</v>
      </c>
      <c r="D11" s="8" t="s">
        <v>65</v>
      </c>
      <c r="E11" s="16"/>
      <c r="F11" s="6" t="s">
        <v>39</v>
      </c>
      <c r="G11" s="4" t="s">
        <v>61</v>
      </c>
      <c r="H11" s="2" t="s">
        <v>40</v>
      </c>
      <c r="I11" s="2" t="s">
        <v>41</v>
      </c>
      <c r="J11" s="2" t="s">
        <v>42</v>
      </c>
      <c r="K11" s="5">
        <v>0.8165306666666664</v>
      </c>
      <c r="L11" s="5">
        <v>0.93190999999999968</v>
      </c>
      <c r="M11" s="5">
        <v>0.88753333333333295</v>
      </c>
      <c r="N11" s="5">
        <v>2.6037333333333299</v>
      </c>
      <c r="O11" s="5">
        <v>2.3693973333333305</v>
      </c>
      <c r="P11" s="5">
        <v>2.9161813333333297</v>
      </c>
      <c r="Q11" s="5">
        <v>12.18</v>
      </c>
      <c r="R11" s="5">
        <v>11.2056</v>
      </c>
      <c r="S11" s="5">
        <v>12.789</v>
      </c>
      <c r="T11" s="5">
        <v>11.006</v>
      </c>
      <c r="U11" s="5">
        <v>10.12552</v>
      </c>
      <c r="V11" s="5">
        <v>11.5563</v>
      </c>
      <c r="W11" s="5">
        <v>30.132666666666701</v>
      </c>
      <c r="X11" s="5">
        <v>27.722053333333367</v>
      </c>
      <c r="Y11" s="5">
        <v>31.639300000000038</v>
      </c>
      <c r="Z11" s="5">
        <v>29.07</v>
      </c>
      <c r="AA11" s="5">
        <v>26.744400000000002</v>
      </c>
      <c r="AB11" s="5">
        <v>30.523500000000002</v>
      </c>
      <c r="AC11" s="5">
        <v>8.9700000000000006</v>
      </c>
      <c r="AD11" s="5">
        <v>8.2524000000000015</v>
      </c>
      <c r="AE11" s="5">
        <v>9.4185000000000016</v>
      </c>
    </row>
    <row r="12" spans="1:31" ht="43.5" customHeight="1" x14ac:dyDescent="0.3">
      <c r="A12" s="20" t="s">
        <v>68</v>
      </c>
      <c r="B12" s="21"/>
      <c r="C12" s="21"/>
      <c r="D12" s="21"/>
      <c r="E12" s="21"/>
      <c r="F12" s="21"/>
      <c r="G12" s="21"/>
      <c r="H12" s="21"/>
      <c r="I12" s="21"/>
      <c r="J12" s="22"/>
      <c r="K12" s="19" t="s">
        <v>75</v>
      </c>
      <c r="L12" s="19"/>
      <c r="M12" s="19"/>
      <c r="N12" s="19" t="s">
        <v>74</v>
      </c>
      <c r="O12" s="19"/>
      <c r="P12" s="19"/>
      <c r="Q12" s="18" t="s">
        <v>70</v>
      </c>
      <c r="R12" s="18"/>
      <c r="S12" s="18"/>
      <c r="T12" s="18" t="s">
        <v>71</v>
      </c>
      <c r="U12" s="18"/>
      <c r="V12" s="18"/>
      <c r="W12" s="18" t="s">
        <v>73</v>
      </c>
      <c r="X12" s="18"/>
      <c r="Y12" s="18"/>
      <c r="Z12" s="17" t="s">
        <v>72</v>
      </c>
      <c r="AA12" s="17"/>
      <c r="AB12" s="17"/>
      <c r="AC12" s="17" t="s">
        <v>69</v>
      </c>
      <c r="AD12" s="17"/>
      <c r="AE12" s="17"/>
    </row>
    <row r="15" spans="1:31" ht="24.95" customHeight="1" x14ac:dyDescent="0.3">
      <c r="J15" s="10"/>
      <c r="K15" s="9"/>
    </row>
    <row r="16" spans="1:31" ht="24.95" customHeight="1" x14ac:dyDescent="0.3">
      <c r="J16" s="10"/>
    </row>
    <row r="24" spans="12:17" ht="24.95" customHeight="1" x14ac:dyDescent="0.3">
      <c r="M24" s="23" t="s">
        <v>52</v>
      </c>
      <c r="N24" s="24"/>
      <c r="O24" s="25"/>
    </row>
    <row r="25" spans="12:17" ht="24.95" customHeight="1" x14ac:dyDescent="0.3">
      <c r="L25" s="1">
        <v>1</v>
      </c>
      <c r="M25" s="5">
        <v>0.72864000000000007</v>
      </c>
      <c r="N25" s="5">
        <v>0.83160000000000012</v>
      </c>
      <c r="O25" s="5">
        <v>0.79200000000000004</v>
      </c>
      <c r="P25" s="9"/>
      <c r="Q25" s="1">
        <f t="shared" ref="Q25:Q34" si="0">_xlfn.VAR.S(M25:O25)</f>
        <v>2.6972352000000023E-3</v>
      </c>
    </row>
    <row r="26" spans="12:17" ht="24.95" customHeight="1" x14ac:dyDescent="0.3">
      <c r="L26" s="1">
        <v>2</v>
      </c>
      <c r="M26" s="5">
        <v>0.60600399999999999</v>
      </c>
      <c r="N26" s="5">
        <v>0.691635</v>
      </c>
      <c r="O26" s="5">
        <v>0.65869999999999995</v>
      </c>
      <c r="P26" s="9"/>
      <c r="Q26" s="1">
        <f t="shared" si="0"/>
        <v>1.8657084670000001E-3</v>
      </c>
    </row>
    <row r="27" spans="12:17" ht="24.95" customHeight="1" x14ac:dyDescent="0.3">
      <c r="L27" s="1">
        <v>3</v>
      </c>
      <c r="M27" s="5">
        <v>0.90478500000000006</v>
      </c>
      <c r="N27" s="5">
        <v>0.79276400000000002</v>
      </c>
      <c r="O27" s="5">
        <v>0.86170000000000002</v>
      </c>
      <c r="P27" s="9"/>
      <c r="Q27" s="1">
        <f t="shared" si="0"/>
        <v>3.1928656270000019E-3</v>
      </c>
    </row>
    <row r="28" spans="12:17" ht="24.95" customHeight="1" x14ac:dyDescent="0.3">
      <c r="L28" s="1">
        <v>4</v>
      </c>
      <c r="M28" s="5">
        <v>0.82551600000000003</v>
      </c>
      <c r="N28" s="5">
        <v>0.94216500000000003</v>
      </c>
      <c r="O28" s="5">
        <v>0.89729999999999999</v>
      </c>
      <c r="P28" s="9"/>
      <c r="Q28" s="1">
        <f t="shared" si="0"/>
        <v>3.462133347E-3</v>
      </c>
    </row>
    <row r="29" spans="12:17" ht="24.95" customHeight="1" x14ac:dyDescent="0.3">
      <c r="L29" s="1">
        <v>5</v>
      </c>
      <c r="M29" s="5">
        <v>0.92484700000000031</v>
      </c>
      <c r="N29" s="5">
        <v>0.8103421333333336</v>
      </c>
      <c r="O29" s="5">
        <v>0.88080666666666696</v>
      </c>
      <c r="P29" s="9"/>
      <c r="Q29" s="1">
        <f t="shared" si="0"/>
        <v>3.336027651391113E-3</v>
      </c>
    </row>
    <row r="30" spans="12:17" ht="24.95" customHeight="1" x14ac:dyDescent="0.3">
      <c r="L30" s="1">
        <v>6</v>
      </c>
      <c r="M30" s="5">
        <v>0.75046240000000008</v>
      </c>
      <c r="N30" s="5">
        <v>0.85650599999999999</v>
      </c>
      <c r="O30" s="5">
        <v>0.81572</v>
      </c>
      <c r="P30" s="9"/>
      <c r="Q30" s="1">
        <f t="shared" si="0"/>
        <v>2.8612162091199945E-3</v>
      </c>
    </row>
    <row r="31" spans="12:17" ht="24.95" customHeight="1" x14ac:dyDescent="0.3">
      <c r="L31" s="1">
        <v>7</v>
      </c>
      <c r="M31" s="5">
        <v>0.68638500000000002</v>
      </c>
      <c r="N31" s="5">
        <v>0.60140399999999994</v>
      </c>
      <c r="O31" s="5">
        <v>0.65369999999999995</v>
      </c>
      <c r="P31" s="9"/>
      <c r="Q31" s="1">
        <f t="shared" si="0"/>
        <v>1.8374918670000034E-3</v>
      </c>
    </row>
    <row r="32" spans="12:17" ht="24.95" customHeight="1" x14ac:dyDescent="0.3">
      <c r="L32" s="1">
        <v>8</v>
      </c>
      <c r="M32" s="5">
        <v>0.76153306666666642</v>
      </c>
      <c r="N32" s="5">
        <v>0.86914099999999972</v>
      </c>
      <c r="O32" s="5">
        <v>0.82775333333333301</v>
      </c>
      <c r="P32" s="9"/>
      <c r="Q32" s="1">
        <f t="shared" si="0"/>
        <v>2.9462549976311085E-3</v>
      </c>
    </row>
    <row r="33" spans="12:17" ht="24.95" customHeight="1" x14ac:dyDescent="0.3">
      <c r="L33" s="1">
        <v>9</v>
      </c>
      <c r="M33" s="5">
        <v>0.86914099999999972</v>
      </c>
      <c r="N33" s="5">
        <v>0.76153306666666642</v>
      </c>
      <c r="O33" s="5">
        <v>0.82775333333333301</v>
      </c>
      <c r="P33" s="9"/>
      <c r="Q33" s="1">
        <f t="shared" si="0"/>
        <v>2.9462549976311085E-3</v>
      </c>
    </row>
    <row r="34" spans="12:17" ht="24.95" customHeight="1" x14ac:dyDescent="0.3">
      <c r="L34" s="1">
        <v>10</v>
      </c>
      <c r="M34" s="5">
        <v>0.8165306666666664</v>
      </c>
      <c r="N34" s="5">
        <v>0.93190999999999968</v>
      </c>
      <c r="O34" s="5">
        <v>0.88753333333333295</v>
      </c>
      <c r="P34" s="9"/>
      <c r="Q34" s="1">
        <f t="shared" si="0"/>
        <v>3.3871762964444406E-3</v>
      </c>
    </row>
  </sheetData>
  <mergeCells count="17">
    <mergeCell ref="M24:O24"/>
    <mergeCell ref="Z1:AB1"/>
    <mergeCell ref="AC1:AE1"/>
    <mergeCell ref="K1:M1"/>
    <mergeCell ref="N1:P1"/>
    <mergeCell ref="Q1:S1"/>
    <mergeCell ref="T1:V1"/>
    <mergeCell ref="W1:Y1"/>
    <mergeCell ref="E2:E11"/>
    <mergeCell ref="AC12:AE12"/>
    <mergeCell ref="T12:V12"/>
    <mergeCell ref="Q12:S12"/>
    <mergeCell ref="Z12:AB12"/>
    <mergeCell ref="W12:Y12"/>
    <mergeCell ref="N12:P12"/>
    <mergeCell ref="K12:M12"/>
    <mergeCell ref="A12:J12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2836-43B4-4FF8-83A7-F7D1DA51B77B}">
  <dimension ref="I15:V36"/>
  <sheetViews>
    <sheetView topLeftCell="B10" workbookViewId="0">
      <selection activeCell="V27" sqref="V27"/>
    </sheetView>
  </sheetViews>
  <sheetFormatPr defaultRowHeight="13.5" x14ac:dyDescent="0.3"/>
  <sheetData>
    <row r="15" spans="15:17" x14ac:dyDescent="0.3">
      <c r="O15" s="11"/>
    </row>
    <row r="16" spans="15:17" ht="13.9" x14ac:dyDescent="0.3">
      <c r="O16" s="5"/>
      <c r="P16" s="5"/>
      <c r="Q16" s="5"/>
    </row>
    <row r="17" spans="9:22" ht="13.9" x14ac:dyDescent="0.3">
      <c r="I17" s="5">
        <v>0.72864000000000007</v>
      </c>
      <c r="J17" s="5">
        <v>0.83160000000000012</v>
      </c>
      <c r="K17" s="5">
        <v>0.79200000000000004</v>
      </c>
      <c r="O17" s="5"/>
      <c r="P17" s="5"/>
      <c r="Q17" s="5"/>
    </row>
    <row r="18" spans="9:22" ht="13.9" x14ac:dyDescent="0.3">
      <c r="I18" s="5">
        <v>0.60600399999999999</v>
      </c>
      <c r="J18" s="5">
        <v>0.691635</v>
      </c>
      <c r="K18" s="5">
        <v>0.65869999999999995</v>
      </c>
      <c r="O18" s="5"/>
      <c r="P18" s="5"/>
      <c r="Q18" s="5"/>
    </row>
    <row r="19" spans="9:22" ht="13.9" x14ac:dyDescent="0.3">
      <c r="I19" s="5">
        <v>0.90478500000000006</v>
      </c>
      <c r="J19" s="5">
        <v>0.79276400000000002</v>
      </c>
      <c r="K19" s="5">
        <v>0.86170000000000002</v>
      </c>
      <c r="O19" s="5"/>
      <c r="P19" s="5"/>
      <c r="Q19" s="5"/>
    </row>
    <row r="20" spans="9:22" ht="13.9" x14ac:dyDescent="0.3">
      <c r="I20" s="5">
        <v>0.82551600000000003</v>
      </c>
      <c r="J20" s="5">
        <v>0.94216500000000003</v>
      </c>
      <c r="K20" s="5">
        <v>0.89729999999999999</v>
      </c>
      <c r="O20" s="5"/>
      <c r="P20" s="5"/>
      <c r="Q20" s="5"/>
    </row>
    <row r="21" spans="9:22" ht="13.9" x14ac:dyDescent="0.3">
      <c r="I21" s="5">
        <v>0.92484700000000031</v>
      </c>
      <c r="J21" s="5">
        <v>0.8103421333333336</v>
      </c>
      <c r="K21" s="5">
        <v>0.88080666666666696</v>
      </c>
    </row>
    <row r="22" spans="9:22" ht="13.9" x14ac:dyDescent="0.3">
      <c r="I22" s="5">
        <v>0.75046240000000008</v>
      </c>
      <c r="J22" s="5">
        <v>0.85650599999999999</v>
      </c>
      <c r="K22" s="5">
        <v>0.81572</v>
      </c>
    </row>
    <row r="23" spans="9:22" ht="13.9" x14ac:dyDescent="0.3">
      <c r="I23" s="5">
        <v>0.68638500000000002</v>
      </c>
      <c r="J23" s="5">
        <v>0.60140399999999994</v>
      </c>
      <c r="K23" s="5">
        <v>0.65369999999999995</v>
      </c>
    </row>
    <row r="24" spans="9:22" ht="13.9" x14ac:dyDescent="0.3">
      <c r="I24" s="5">
        <v>0.76153306666666642</v>
      </c>
      <c r="J24" s="5">
        <v>0.86914099999999972</v>
      </c>
      <c r="K24" s="5">
        <v>0.82775333333333301</v>
      </c>
    </row>
    <row r="25" spans="9:22" ht="13.9" x14ac:dyDescent="0.3">
      <c r="I25" s="5">
        <v>0.86914099999999972</v>
      </c>
      <c r="J25" s="5">
        <v>0.76153306666666642</v>
      </c>
      <c r="K25" s="5">
        <v>0.82775333333333301</v>
      </c>
    </row>
    <row r="26" spans="9:22" ht="13.9" x14ac:dyDescent="0.3">
      <c r="I26" s="5">
        <v>0.8165306666666664</v>
      </c>
      <c r="J26" s="5">
        <v>0.93190999999999968</v>
      </c>
      <c r="K26" s="5">
        <v>0.88753333333333295</v>
      </c>
    </row>
    <row r="27" spans="9:22" ht="13.9" x14ac:dyDescent="0.3">
      <c r="N27" s="11" t="s">
        <v>82</v>
      </c>
      <c r="O27" s="5">
        <v>0.60600399999999999</v>
      </c>
      <c r="P27" s="5">
        <v>0.691635</v>
      </c>
      <c r="Q27" s="5">
        <v>0.65869999999999995</v>
      </c>
      <c r="R27" s="5">
        <v>0.8165306666666664</v>
      </c>
      <c r="S27" s="5">
        <v>0.93190999999999968</v>
      </c>
      <c r="T27" s="5">
        <v>0.88753333333333295</v>
      </c>
      <c r="U27" s="12">
        <v>5.0000000000000001E-3</v>
      </c>
      <c r="V27">
        <f t="shared" ref="V27:V36" si="0">_xlfn.T.TEST(O27:Q27,R27:T27,2,2)</f>
        <v>5.6395405426407138E-3</v>
      </c>
    </row>
    <row r="28" spans="9:22" ht="13.9" x14ac:dyDescent="0.3">
      <c r="N28" s="11" t="s">
        <v>80</v>
      </c>
      <c r="O28" s="5">
        <v>0.60600399999999999</v>
      </c>
      <c r="P28" s="5">
        <v>0.691635</v>
      </c>
      <c r="Q28" s="5">
        <v>0.65869999999999995</v>
      </c>
      <c r="R28" s="5">
        <v>0.92484700000000031</v>
      </c>
      <c r="S28" s="5">
        <v>0.8103421333333336</v>
      </c>
      <c r="T28" s="5">
        <v>0.88080666666666696</v>
      </c>
      <c r="U28" s="12">
        <v>0.01</v>
      </c>
      <c r="V28">
        <f t="shared" si="0"/>
        <v>6.1676334233608642E-3</v>
      </c>
    </row>
    <row r="29" spans="9:22" ht="13.9" x14ac:dyDescent="0.3">
      <c r="N29" s="11" t="s">
        <v>81</v>
      </c>
      <c r="O29" s="5">
        <v>0.60600399999999999</v>
      </c>
      <c r="P29" s="5">
        <v>0.691635</v>
      </c>
      <c r="Q29" s="5">
        <v>0.65869999999999995</v>
      </c>
      <c r="R29" s="5">
        <v>0.76153306666666642</v>
      </c>
      <c r="S29" s="5">
        <v>0.86914099999999972</v>
      </c>
      <c r="T29" s="5">
        <v>0.82775333333333301</v>
      </c>
      <c r="U29" s="12">
        <v>1.4999999999999999E-2</v>
      </c>
      <c r="V29">
        <f t="shared" si="0"/>
        <v>1.3931057631187307E-2</v>
      </c>
    </row>
    <row r="30" spans="9:22" ht="13.9" x14ac:dyDescent="0.3">
      <c r="N30" s="11" t="s">
        <v>76</v>
      </c>
      <c r="O30" s="5">
        <v>0.72864000000000007</v>
      </c>
      <c r="P30" s="5">
        <v>0.83160000000000012</v>
      </c>
      <c r="Q30" s="5">
        <v>0.79200000000000004</v>
      </c>
      <c r="R30" s="5">
        <v>0.60600399999999999</v>
      </c>
      <c r="S30" s="5">
        <v>0.691635</v>
      </c>
      <c r="T30" s="5">
        <v>0.65869999999999995</v>
      </c>
      <c r="U30" s="12">
        <v>0.02</v>
      </c>
      <c r="V30">
        <f t="shared" si="0"/>
        <v>2.768830602807662E-2</v>
      </c>
    </row>
    <row r="31" spans="9:22" ht="13.9" x14ac:dyDescent="0.3">
      <c r="N31" s="11" t="s">
        <v>79</v>
      </c>
      <c r="O31" s="5">
        <v>0.72864000000000007</v>
      </c>
      <c r="P31" s="5">
        <v>0.83160000000000012</v>
      </c>
      <c r="Q31" s="5">
        <v>0.79200000000000004</v>
      </c>
      <c r="R31" s="5">
        <v>0.8165306666666664</v>
      </c>
      <c r="S31" s="5">
        <v>0.93190999999999968</v>
      </c>
      <c r="T31" s="5">
        <v>0.88753333333333295</v>
      </c>
      <c r="U31" s="12">
        <v>2.5000000000000001E-2</v>
      </c>
      <c r="V31">
        <f t="shared" si="0"/>
        <v>0.1036407435639774</v>
      </c>
    </row>
    <row r="32" spans="9:22" ht="13.9" x14ac:dyDescent="0.3">
      <c r="N32" s="11" t="s">
        <v>77</v>
      </c>
      <c r="O32" s="5">
        <v>0.72864000000000007</v>
      </c>
      <c r="P32" s="5">
        <v>0.83160000000000012</v>
      </c>
      <c r="Q32" s="5">
        <v>0.79200000000000004</v>
      </c>
      <c r="R32" s="5">
        <v>0.92484700000000031</v>
      </c>
      <c r="S32" s="5">
        <v>0.8103421333333336</v>
      </c>
      <c r="T32" s="5">
        <v>0.88080666666666696</v>
      </c>
      <c r="U32" s="12">
        <v>0.03</v>
      </c>
      <c r="V32">
        <f t="shared" si="0"/>
        <v>0.12148596449121134</v>
      </c>
    </row>
    <row r="33" spans="14:22" ht="13.9" x14ac:dyDescent="0.3">
      <c r="N33" s="11" t="s">
        <v>85</v>
      </c>
      <c r="O33" s="5">
        <v>0.76153306666666642</v>
      </c>
      <c r="P33" s="5">
        <v>0.86914099999999972</v>
      </c>
      <c r="Q33" s="5">
        <v>0.82775333333333301</v>
      </c>
      <c r="R33" s="5">
        <v>0.8165306666666664</v>
      </c>
      <c r="S33" s="5">
        <v>0.93190999999999968</v>
      </c>
      <c r="T33" s="5">
        <v>0.88753333333333295</v>
      </c>
      <c r="U33" s="12">
        <v>3.5000000000000003E-2</v>
      </c>
      <c r="V33">
        <f t="shared" si="0"/>
        <v>0.267191143388332</v>
      </c>
    </row>
    <row r="34" spans="14:22" ht="13.9" x14ac:dyDescent="0.3">
      <c r="N34" s="11" t="s">
        <v>83</v>
      </c>
      <c r="O34" s="5">
        <v>0.92484700000000031</v>
      </c>
      <c r="P34" s="5">
        <v>0.8103421333333336</v>
      </c>
      <c r="Q34" s="5">
        <v>0.88080666666666696</v>
      </c>
      <c r="R34" s="5">
        <v>0.76153306666666642</v>
      </c>
      <c r="S34" s="5">
        <v>0.86914099999999972</v>
      </c>
      <c r="T34" s="5">
        <v>0.82775333333333301</v>
      </c>
      <c r="U34" s="12">
        <v>0.04</v>
      </c>
      <c r="V34">
        <f t="shared" si="0"/>
        <v>0.31504658464848001</v>
      </c>
    </row>
    <row r="35" spans="14:22" ht="13.9" x14ac:dyDescent="0.3">
      <c r="N35" s="11" t="s">
        <v>78</v>
      </c>
      <c r="O35" s="5">
        <v>0.72864000000000007</v>
      </c>
      <c r="P35" s="5">
        <v>0.83160000000000012</v>
      </c>
      <c r="Q35" s="5">
        <v>0.79200000000000004</v>
      </c>
      <c r="R35" s="5">
        <v>0.76153306666666642</v>
      </c>
      <c r="S35" s="5">
        <v>0.86914099999999972</v>
      </c>
      <c r="T35" s="5">
        <v>0.82775333333333301</v>
      </c>
      <c r="U35" s="12">
        <v>4.4999999999999998E-2</v>
      </c>
      <c r="V35">
        <f t="shared" si="0"/>
        <v>0.46025780624110391</v>
      </c>
    </row>
    <row r="36" spans="14:22" ht="13.9" x14ac:dyDescent="0.3">
      <c r="N36" s="11" t="s">
        <v>84</v>
      </c>
      <c r="O36" s="5">
        <v>0.92484700000000031</v>
      </c>
      <c r="P36" s="5">
        <v>0.8103421333333336</v>
      </c>
      <c r="Q36" s="5">
        <v>0.88080666666666696</v>
      </c>
      <c r="R36" s="5">
        <v>0.8165306666666664</v>
      </c>
      <c r="S36" s="5">
        <v>0.93190999999999968</v>
      </c>
      <c r="T36" s="5">
        <v>0.88753333333333295</v>
      </c>
      <c r="U36" s="12">
        <v>0.05</v>
      </c>
      <c r="V36">
        <f t="shared" si="0"/>
        <v>0.89492872441327032</v>
      </c>
    </row>
  </sheetData>
  <sortState xmlns:xlrd2="http://schemas.microsoft.com/office/spreadsheetml/2017/richdata2" ref="N27:V36">
    <sortCondition ref="V27:V36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86158</dc:creator>
  <cp:lastModifiedBy>镒轩 曹</cp:lastModifiedBy>
  <dcterms:created xsi:type="dcterms:W3CDTF">2026-07-06T06:37:00Z</dcterms:created>
  <dcterms:modified xsi:type="dcterms:W3CDTF">2026-09-16T15:16:11Z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EB883C7E4F634A4185163DF23727FBDF_11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